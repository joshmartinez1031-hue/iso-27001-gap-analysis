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1C69A62F-5783-439A-898A-C2777E585AF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2" i="1"/>
  <c r="B17" i="1"/>
  <c r="B16" i="1"/>
  <c r="B15" i="1"/>
  <c r="B14" i="1"/>
</calcChain>
</file>

<file path=xl/sharedStrings.xml><?xml version="1.0" encoding="utf-8"?>
<sst xmlns="http://schemas.openxmlformats.org/spreadsheetml/2006/main" count="87" uniqueCount="76">
  <si>
    <t>ISO Control</t>
  </si>
  <si>
    <t xml:space="preserve">Control Theme </t>
  </si>
  <si>
    <t xml:space="preserve">Requirement </t>
  </si>
  <si>
    <t xml:space="preserve">Current State </t>
  </si>
  <si>
    <t xml:space="preserve">Gap </t>
  </si>
  <si>
    <t>Gap Rating</t>
  </si>
  <si>
    <t xml:space="preserve">Risk Level </t>
  </si>
  <si>
    <t>Priority</t>
  </si>
  <si>
    <t>Recommendation</t>
  </si>
  <si>
    <t xml:space="preserve">Evidence Needed </t>
  </si>
  <si>
    <t>A.5.1</t>
  </si>
  <si>
    <t xml:space="preserve">Security Policy </t>
  </si>
  <si>
    <t>Organization must maintain documented information security policies</t>
  </si>
  <si>
    <t>No formal written security policy exists</t>
  </si>
  <si>
    <t>Missing documented and approved InfoSec policy</t>
  </si>
  <si>
    <t>Not Implemented</t>
  </si>
  <si>
    <t>Medium</t>
  </si>
  <si>
    <t>Develop and approve a formal Information Security Policy</t>
  </si>
  <si>
    <t>Approved policy document + review log</t>
  </si>
  <si>
    <t>A.6.1</t>
  </si>
  <si>
    <t>Roles &amp; Responsibilities</t>
  </si>
  <si>
    <t>Define and assign security roles and responsibilities</t>
  </si>
  <si>
    <t>IT team handles security informally</t>
  </si>
  <si>
    <t>No documented security role ownership</t>
  </si>
  <si>
    <t>Partially Implemented</t>
  </si>
  <si>
    <t>Define roles (Risk Owner, Incident Lead, Approver)</t>
  </si>
  <si>
    <t>Organizational chart + role documentation</t>
  </si>
  <si>
    <t>A.8.1</t>
  </si>
  <si>
    <t>Asset Management</t>
  </si>
  <si>
    <t>Maintain inventory of information assets</t>
  </si>
  <si>
    <t xml:space="preserve">Only laptops are tracked </t>
  </si>
  <si>
    <t>No inventory for servers, databases, or cloud apps</t>
  </si>
  <si>
    <t xml:space="preserve">Not Implemented </t>
  </si>
  <si>
    <t>High</t>
  </si>
  <si>
    <t>Build centralized asset inventory with ownership</t>
  </si>
  <si>
    <t>Assest register spreadsheet</t>
  </si>
  <si>
    <t>A.9.2</t>
  </si>
  <si>
    <t>Access Control</t>
  </si>
  <si>
    <t>Enforce least privilege and access authorization</t>
  </si>
  <si>
    <t>Shared admin accounts used</t>
  </si>
  <si>
    <t>Shared credentials + excessive permissions</t>
  </si>
  <si>
    <t>Remove shared accounts and enforce RBAC</t>
  </si>
  <si>
    <t>Access control policy + access review records</t>
  </si>
  <si>
    <t>A.9.4</t>
  </si>
  <si>
    <t>Multi-Factor-Authorization</t>
  </si>
  <si>
    <t>Require strong authentication mechanisms</t>
  </si>
  <si>
    <t>MFA only enabled on email</t>
  </si>
  <si>
    <t>MFA not enforced across all critical systems</t>
  </si>
  <si>
    <t>Enforce MFA on admin accounts and VPN</t>
  </si>
  <si>
    <t>MFA configuration screenshots</t>
  </si>
  <si>
    <t>A.12.6</t>
  </si>
  <si>
    <t>Vulnerability Management</t>
  </si>
  <si>
    <t>Identify and remediate vulnerabilities regularly</t>
  </si>
  <si>
    <t>No formal patch schedule</t>
  </si>
  <si>
    <t>No scheduled vulnerability scanning</t>
  </si>
  <si>
    <t>Implement monthly patching and scanning program</t>
  </si>
  <si>
    <t>Patch logs + vulnerability scan reports</t>
  </si>
  <si>
    <t>A.16.1</t>
  </si>
  <si>
    <t>Incident Response</t>
  </si>
  <si>
    <t>Establish and maintain incident response procedures</t>
  </si>
  <si>
    <t>No documented IR plan</t>
  </si>
  <si>
    <t>Missing defined response procedures</t>
  </si>
  <si>
    <t>Develop formal incident response plan</t>
  </si>
  <si>
    <t>IR plan document + incident tracking logs</t>
  </si>
  <si>
    <t>A.18.1</t>
  </si>
  <si>
    <t>Compliance &amp; Privacy</t>
  </si>
  <si>
    <t>Identify legal and regulatory requirements</t>
  </si>
  <si>
    <t>No compliance mapping performed</t>
  </si>
  <si>
    <t>Missing compliance register</t>
  </si>
  <si>
    <t>Create compliance register and data retention policy</t>
  </si>
  <si>
    <t>Compliance matrix + retention policy</t>
  </si>
  <si>
    <t>Summary</t>
  </si>
  <si>
    <t>Total Controls Reviewed</t>
  </si>
  <si>
    <t>High Risk Gaps</t>
  </si>
  <si>
    <t>Medium Risk Gaps</t>
  </si>
  <si>
    <t>Fully Implemented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</si>
</sst>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pane ySplit="1" topLeftCell="A2" activePane="bottomLeft" state="frozen"/>
      <selection pane="bottomLeft" activeCell="E15" sqref="E15"/>
    </sheetView>
  </sheetViews>
  <sheetFormatPr defaultRowHeight="15"/>
  <cols>
    <col min="1" max="1" width="24.42578125" style="5" customWidth="1"/>
    <col min="2" max="2" width="23.28515625" customWidth="1"/>
    <col min="3" max="3" width="59.7109375" customWidth="1"/>
    <col min="4" max="4" width="34.140625" customWidth="1"/>
    <col min="5" max="5" width="43" customWidth="1"/>
    <col min="6" max="6" width="19.5703125" style="5" customWidth="1"/>
    <col min="7" max="8" width="12.7109375" style="5" customWidth="1"/>
    <col min="9" max="9" width="49.85546875" customWidth="1"/>
    <col min="10" max="10" width="38.5703125" customWidth="1"/>
  </cols>
  <sheetData>
    <row r="1" spans="1:10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</row>
    <row r="2" spans="1:10">
      <c r="A2" s="4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4" t="s">
        <v>15</v>
      </c>
      <c r="G2" s="4" t="s">
        <v>16</v>
      </c>
      <c r="H2" s="4" t="str">
        <f>IF(G2="High","Priority 1",IF(G2="Medium","Priority 2","Priority 3"))</f>
        <v>Priority 2</v>
      </c>
      <c r="I2" s="2" t="s">
        <v>17</v>
      </c>
      <c r="J2" s="2" t="s">
        <v>18</v>
      </c>
    </row>
    <row r="3" spans="1:10">
      <c r="A3" s="4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4" t="s">
        <v>24</v>
      </c>
      <c r="G3" s="4" t="s">
        <v>16</v>
      </c>
      <c r="H3" s="4" t="str">
        <f t="shared" ref="H3:H9" si="0">IF(G3="High","Priority 1",IF(G3="Medium","Priority 2","Priority 3"))</f>
        <v>Priority 2</v>
      </c>
      <c r="I3" s="2" t="s">
        <v>25</v>
      </c>
      <c r="J3" s="2" t="s">
        <v>26</v>
      </c>
    </row>
    <row r="4" spans="1:10">
      <c r="A4" s="4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4" t="s">
        <v>32</v>
      </c>
      <c r="G4" s="4" t="s">
        <v>33</v>
      </c>
      <c r="H4" s="4" t="str">
        <f t="shared" si="0"/>
        <v>Priority 1</v>
      </c>
      <c r="I4" s="2" t="s">
        <v>34</v>
      </c>
      <c r="J4" s="2" t="s">
        <v>35</v>
      </c>
    </row>
    <row r="5" spans="1:10">
      <c r="A5" s="4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4" t="s">
        <v>15</v>
      </c>
      <c r="G5" s="4" t="s">
        <v>33</v>
      </c>
      <c r="H5" s="4" t="str">
        <f t="shared" si="0"/>
        <v>Priority 1</v>
      </c>
      <c r="I5" s="2" t="s">
        <v>41</v>
      </c>
      <c r="J5" s="2" t="s">
        <v>42</v>
      </c>
    </row>
    <row r="6" spans="1:10">
      <c r="A6" s="4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4" t="s">
        <v>24</v>
      </c>
      <c r="G6" s="4" t="s">
        <v>33</v>
      </c>
      <c r="H6" s="4" t="str">
        <f t="shared" si="0"/>
        <v>Priority 1</v>
      </c>
      <c r="I6" s="2" t="s">
        <v>48</v>
      </c>
      <c r="J6" s="2" t="s">
        <v>49</v>
      </c>
    </row>
    <row r="7" spans="1:10">
      <c r="A7" s="4" t="s">
        <v>50</v>
      </c>
      <c r="B7" s="2" t="s">
        <v>51</v>
      </c>
      <c r="C7" s="2" t="s">
        <v>52</v>
      </c>
      <c r="D7" s="2" t="s">
        <v>53</v>
      </c>
      <c r="E7" s="2" t="s">
        <v>54</v>
      </c>
      <c r="F7" s="4" t="s">
        <v>15</v>
      </c>
      <c r="G7" s="4" t="s">
        <v>33</v>
      </c>
      <c r="H7" s="4" t="str">
        <f t="shared" si="0"/>
        <v>Priority 1</v>
      </c>
      <c r="I7" s="2" t="s">
        <v>55</v>
      </c>
      <c r="J7" s="2" t="s">
        <v>56</v>
      </c>
    </row>
    <row r="8" spans="1:10">
      <c r="A8" s="4" t="s">
        <v>57</v>
      </c>
      <c r="B8" s="2" t="s">
        <v>58</v>
      </c>
      <c r="C8" s="2" t="s">
        <v>59</v>
      </c>
      <c r="D8" s="2" t="s">
        <v>60</v>
      </c>
      <c r="E8" s="2" t="s">
        <v>61</v>
      </c>
      <c r="F8" s="4" t="s">
        <v>15</v>
      </c>
      <c r="G8" s="4" t="s">
        <v>33</v>
      </c>
      <c r="H8" s="4" t="str">
        <f t="shared" si="0"/>
        <v>Priority 1</v>
      </c>
      <c r="I8" s="2" t="s">
        <v>62</v>
      </c>
      <c r="J8" s="2" t="s">
        <v>63</v>
      </c>
    </row>
    <row r="9" spans="1:10">
      <c r="A9" s="4" t="s">
        <v>64</v>
      </c>
      <c r="B9" s="2" t="s">
        <v>65</v>
      </c>
      <c r="C9" s="2" t="s">
        <v>66</v>
      </c>
      <c r="D9" s="2" t="s">
        <v>67</v>
      </c>
      <c r="E9" s="2" t="s">
        <v>68</v>
      </c>
      <c r="F9" s="4" t="s">
        <v>15</v>
      </c>
      <c r="G9" s="4" t="s">
        <v>16</v>
      </c>
      <c r="H9" s="4" t="str">
        <f t="shared" si="0"/>
        <v>Priority 2</v>
      </c>
      <c r="I9" s="2" t="s">
        <v>69</v>
      </c>
      <c r="J9" s="2" t="s">
        <v>70</v>
      </c>
    </row>
    <row r="12" spans="1:10">
      <c r="A12" s="6" t="s">
        <v>71</v>
      </c>
      <c r="B12" s="7"/>
      <c r="C12" s="7"/>
    </row>
    <row r="13" spans="1:10">
      <c r="A13" s="6"/>
      <c r="B13" s="7"/>
      <c r="C13" s="7"/>
    </row>
    <row r="14" spans="1:10">
      <c r="A14" s="6" t="s">
        <v>72</v>
      </c>
      <c r="B14" s="1">
        <f>COUNTA(A2:A9)</f>
        <v>8</v>
      </c>
      <c r="C14" s="7"/>
    </row>
    <row r="15" spans="1:10">
      <c r="A15" s="6" t="s">
        <v>73</v>
      </c>
      <c r="B15" s="1">
        <f>COUNTIF(G2:G9,"High")</f>
        <v>5</v>
      </c>
      <c r="C15" s="7"/>
    </row>
    <row r="16" spans="1:10">
      <c r="A16" s="6" t="s">
        <v>74</v>
      </c>
      <c r="B16" s="1">
        <f>COUNTIF(G2:G9,"Medium")</f>
        <v>3</v>
      </c>
      <c r="C16" s="7"/>
    </row>
    <row r="17" spans="1:3">
      <c r="A17" s="6" t="s">
        <v>75</v>
      </c>
      <c r="B17" s="1">
        <f>COUNTIF(F2:F9,"Fully Implemented")</f>
        <v>0</v>
      </c>
      <c r="C17" s="7"/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42299B0-C2DC-4EF7-8AA3-0FE6A53BB229}">
            <xm:f>NOT(ISERROR(SEARCH($G2="High",A2)))</xm:f>
            <xm:f>$G2="High"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A2:A9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2026-02-19T02:15:03Z</dcterms:created>
  <dcterms:modified xsi:type="dcterms:W3CDTF">2026-02-19T03:09:29Z</dcterms:modified>
  <cp:category/>
  <cp:contentStatus/>
</cp:coreProperties>
</file>